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240" yWindow="105" windowWidth="14805" windowHeight="8010" activeTab="5"/>
  </bookViews>
  <sheets>
    <sheet name="1. Internet" sheetId="1" r:id="rId1"/>
    <sheet name="2. Kula" sheetId="2" r:id="rId2"/>
    <sheet name="3. Wielomian" sheetId="3" r:id="rId3"/>
    <sheet name="4. Gęstość" sheetId="4" r:id="rId4"/>
    <sheet name="5. Giełda" sheetId="5" r:id="rId5"/>
    <sheet name="6. Prąd i gaz" sheetId="7" r:id="rId6"/>
  </sheets>
  <definedNames>
    <definedName name="Imiona">#REF!</definedName>
    <definedName name="Kwerenda1">#REF!</definedName>
  </definedNames>
  <calcPr calcId="125725"/>
</workbook>
</file>

<file path=xl/calcChain.xml><?xml version="1.0" encoding="utf-8"?>
<calcChain xmlns="http://schemas.openxmlformats.org/spreadsheetml/2006/main">
  <c r="A11" i="7"/>
  <c r="A10" s="1"/>
  <c r="A9" s="1"/>
  <c r="A8" s="1"/>
  <c r="A7" s="1"/>
  <c r="A6" s="1"/>
  <c r="A5" s="1"/>
  <c r="A4" s="1"/>
  <c r="A3" s="1"/>
  <c r="A2" s="1"/>
  <c r="A2" i="5" l="1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D3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C3"/>
  <c r="C4" s="1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B3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D19" i="1" l="1"/>
</calcChain>
</file>

<file path=xl/sharedStrings.xml><?xml version="1.0" encoding="utf-8"?>
<sst xmlns="http://schemas.openxmlformats.org/spreadsheetml/2006/main" count="26" uniqueCount="26">
  <si>
    <t>x</t>
  </si>
  <si>
    <t>Sposób</t>
  </si>
  <si>
    <t>komutowany</t>
  </si>
  <si>
    <t>ADSL</t>
  </si>
  <si>
    <t>kablówka</t>
  </si>
  <si>
    <t>dostęp radiowy</t>
  </si>
  <si>
    <t>sieć blokowa</t>
  </si>
  <si>
    <t>satelita</t>
  </si>
  <si>
    <t>GPRS</t>
  </si>
  <si>
    <t>inne</t>
  </si>
  <si>
    <t>razem:</t>
  </si>
  <si>
    <t>Liczba wskazań</t>
  </si>
  <si>
    <t>Zasięg [m]</t>
  </si>
  <si>
    <t>Wysokość [m]</t>
  </si>
  <si>
    <t>y</t>
  </si>
  <si>
    <t>Temp [°C]</t>
  </si>
  <si>
    <r>
      <t>Gęstość [kg/m</t>
    </r>
    <r>
      <rPr>
        <vertAlign val="superscript"/>
        <sz val="10"/>
        <rFont val="Arial"/>
        <family val="2"/>
        <charset val="238"/>
      </rPr>
      <t>3</t>
    </r>
    <r>
      <rPr>
        <sz val="11"/>
        <color theme="1"/>
        <rFont val="Calibri"/>
        <family val="2"/>
        <scheme val="minor"/>
      </rPr>
      <t>]</t>
    </r>
  </si>
  <si>
    <t>Data</t>
  </si>
  <si>
    <t>TP SA</t>
  </si>
  <si>
    <t>Agora</t>
  </si>
  <si>
    <t>PKO BP</t>
  </si>
  <si>
    <t>Rok</t>
  </si>
  <si>
    <t>Zużycie energii 
elektrycznej [kWh]</t>
  </si>
  <si>
    <r>
      <t>Zużycie gazu
ziemnego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</si>
  <si>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W jaki sposób łączysz się z internetem?</t>
  </si>
  <si>
    <t>nie mam internetu</t>
  </si>
</sst>
</file>

<file path=xl/styles.xml><?xml version="1.0" encoding="utf-8"?>
<styleSheet xmlns="http://schemas.openxmlformats.org/spreadsheetml/2006/main">
  <numFmts count="4">
    <numFmt numFmtId="44" formatCode="_-* #,##0.00\ &quot;zł&quot;_-;\-* #,##0.00\ &quot;zł&quot;_-;_-* &quot;-&quot;??\ &quot;zł&quot;_-;_-@_-"/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indexed="12"/>
      <name val="Arial"/>
      <family val="2"/>
      <charset val="238"/>
    </font>
    <font>
      <sz val="10"/>
      <color rgb="FF0000FF"/>
      <name val="Arial"/>
      <family val="2"/>
      <charset val="238"/>
    </font>
    <font>
      <b/>
      <sz val="11"/>
      <color rgb="FF1F497D"/>
      <name val="Calibri"/>
      <family val="2"/>
      <charset val="238"/>
      <scheme val="minor"/>
    </font>
    <font>
      <i/>
      <sz val="11"/>
      <color rgb="FFFF0000"/>
      <name val="Calibri"/>
      <family val="2"/>
      <charset val="238"/>
      <scheme val="minor"/>
    </font>
    <font>
      <vertAlign val="superscript"/>
      <sz val="10"/>
      <name val="Arial"/>
      <family val="2"/>
      <charset val="238"/>
    </font>
    <font>
      <sz val="12"/>
      <name val="Times"/>
    </font>
    <font>
      <sz val="10"/>
      <color theme="1"/>
      <name val="Bookman Old Style"/>
      <family val="1"/>
      <charset val="238"/>
    </font>
    <font>
      <sz val="10"/>
      <name val="Bookman Old Style"/>
      <family val="1"/>
      <charset val="238"/>
    </font>
    <font>
      <vertAlign val="superscript"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0" borderId="0" xfId="1"/>
    <xf numFmtId="0" fontId="0" fillId="0" borderId="4" xfId="0" applyBorder="1"/>
    <xf numFmtId="0" fontId="0" fillId="0" borderId="5" xfId="0" applyBorder="1"/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3" fontId="0" fillId="0" borderId="7" xfId="0" applyNumberFormat="1" applyBorder="1"/>
    <xf numFmtId="0" fontId="4" fillId="3" borderId="8" xfId="0" applyFont="1" applyFill="1" applyBorder="1" applyAlignment="1">
      <alignment horizontal="right"/>
    </xf>
    <xf numFmtId="0" fontId="4" fillId="3" borderId="9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NumberFormat="1" applyFont="1" applyBorder="1"/>
    <xf numFmtId="14" fontId="11" fillId="0" borderId="1" xfId="0" applyNumberFormat="1" applyFont="1" applyBorder="1"/>
    <xf numFmtId="44" fontId="11" fillId="0" borderId="1" xfId="3" applyFont="1" applyBorder="1"/>
    <xf numFmtId="44" fontId="10" fillId="0" borderId="1" xfId="3" applyFont="1" applyBorder="1"/>
    <xf numFmtId="0" fontId="10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wrapText="1"/>
    </xf>
    <xf numFmtId="164" fontId="0" fillId="0" borderId="1" xfId="2" applyNumberFormat="1" applyFont="1" applyBorder="1"/>
    <xf numFmtId="165" fontId="0" fillId="0" borderId="1" xfId="2" applyNumberFormat="1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4">
    <cellStyle name="Dziesiętny" xfId="2" builtinId="3"/>
    <cellStyle name="Normalny" xfId="0" builtinId="0"/>
    <cellStyle name="Normalny 2" xfId="1"/>
    <cellStyle name="Walutowy" xfId="3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19</xdr:row>
      <xdr:rowOff>104775</xdr:rowOff>
    </xdr:from>
    <xdr:to>
      <xdr:col>5</xdr:col>
      <xdr:colOff>38100</xdr:colOff>
      <xdr:row>27</xdr:row>
      <xdr:rowOff>47625</xdr:rowOff>
    </xdr:to>
    <xdr:sp macro="" textlink="">
      <xdr:nvSpPr>
        <xdr:cNvPr id="3" name="pole tekstowe 2"/>
        <xdr:cNvSpPr txBox="1"/>
      </xdr:nvSpPr>
      <xdr:spPr>
        <a:xfrm>
          <a:off x="409575" y="3743325"/>
          <a:ext cx="3819525" cy="1466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Powyżej znajdują się wyniki ankiety przeprowadzonej na reprezentatywnej grupie 1128 osób.</a:t>
          </a: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Dobierz zakres danych, typ wykresu, formatowanie</a:t>
          </a:r>
          <a:r>
            <a:rPr lang="pl-PL" sz="1100" i="1" baseline="0">
              <a:solidFill>
                <a:srgbClr val="FF0000"/>
              </a:solidFill>
            </a:rPr>
            <a:t> poszczególnych jego elementów w taki sposób, by stworzony przez ciebie wykres jak najlepiej odwzorowywał dane, był logiczny, zrozumiały i czytelny.</a:t>
          </a:r>
          <a:endParaRPr lang="pl-PL" sz="1100" i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0</xdr:row>
      <xdr:rowOff>114300</xdr:rowOff>
    </xdr:from>
    <xdr:to>
      <xdr:col>8</xdr:col>
      <xdr:colOff>333375</xdr:colOff>
      <xdr:row>9</xdr:row>
      <xdr:rowOff>76200</xdr:rowOff>
    </xdr:to>
    <xdr:sp macro="" textlink="">
      <xdr:nvSpPr>
        <xdr:cNvPr id="4" name="pole tekstowe 3"/>
        <xdr:cNvSpPr txBox="1"/>
      </xdr:nvSpPr>
      <xdr:spPr>
        <a:xfrm>
          <a:off x="1866900" y="114300"/>
          <a:ext cx="381952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W kolumnach A i B umieszczono wartości służące  do opisania ruchu kuli wystrzelonej ukośnie z poziomu ziemi. Wyniki te uzyskano doświadczalnie.</a:t>
          </a: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Dobierz zakres danych, typ wykresu, formatowanie</a:t>
          </a:r>
          <a:r>
            <a:rPr lang="pl-PL" sz="1100" i="1" baseline="0">
              <a:solidFill>
                <a:srgbClr val="FF0000"/>
              </a:solidFill>
            </a:rPr>
            <a:t> poszczególnych jego elementów w taki sposób, by stworzony przez ciebie wykres jak najlepiej odwzorowywał dane, był logiczny, zrozumiały i czytelny.</a:t>
          </a:r>
          <a:endParaRPr lang="pl-PL" sz="1100" i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1</xdr:row>
      <xdr:rowOff>28574</xdr:rowOff>
    </xdr:from>
    <xdr:to>
      <xdr:col>12</xdr:col>
      <xdr:colOff>428625</xdr:colOff>
      <xdr:row>9</xdr:row>
      <xdr:rowOff>38100</xdr:rowOff>
    </xdr:to>
    <xdr:sp macro="" textlink="">
      <xdr:nvSpPr>
        <xdr:cNvPr id="3" name="pole tekstowe 2"/>
        <xdr:cNvSpPr txBox="1"/>
      </xdr:nvSpPr>
      <xdr:spPr>
        <a:xfrm>
          <a:off x="2105025" y="219074"/>
          <a:ext cx="6115050" cy="15335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Narysuj wykres funkcji                                                         dla </a:t>
          </a:r>
        </a:p>
        <a:p>
          <a:endParaRPr lang="pl-PL" sz="1100" i="1" baseline="0">
            <a:solidFill>
              <a:srgbClr val="FF0000"/>
            </a:solidFill>
          </a:endParaRPr>
        </a:p>
        <a:p>
          <a:r>
            <a:rPr lang="pl-PL" sz="1100" i="1" baseline="0">
              <a:solidFill>
                <a:srgbClr val="FF0000"/>
              </a:solidFill>
            </a:rPr>
            <a:t>Zauważ, że dane obok nie mają jeszcze wyliczonych wartości. Funkcja zwracająca liczbę podniesioną do potęgi w Excelu nazywa się </a:t>
          </a:r>
          <a:r>
            <a:rPr lang="pl-PL" sz="1100" i="1" baseline="0">
              <a:solidFill>
                <a:srgbClr val="002060"/>
              </a:solidFill>
            </a:rPr>
            <a:t>POTĘGA(liczba;potęga)</a:t>
          </a:r>
          <a:r>
            <a:rPr lang="pl-PL" sz="1100" i="1" baseline="0">
              <a:solidFill>
                <a:srgbClr val="FF0000"/>
              </a:solidFill>
            </a:rPr>
            <a:t>.</a:t>
          </a:r>
        </a:p>
        <a:p>
          <a:endParaRPr lang="pl-PL" sz="1100" i="1" baseline="0">
            <a:solidFill>
              <a:srgbClr val="FF0000"/>
            </a:solidFill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i="1">
              <a:solidFill>
                <a:srgbClr val="FF0000"/>
              </a:solidFill>
              <a:latin typeface="+mn-lt"/>
              <a:ea typeface="+mn-ea"/>
              <a:cs typeface="+mn-cs"/>
            </a:rPr>
            <a:t>Dobierz zakres danych, typ wykresu, formatowanie</a:t>
          </a:r>
          <a:r>
            <a:rPr lang="pl-PL" sz="1100" i="1" baseline="0">
              <a:solidFill>
                <a:srgbClr val="FF0000"/>
              </a:solidFill>
              <a:latin typeface="+mn-lt"/>
              <a:ea typeface="+mn-ea"/>
              <a:cs typeface="+mn-cs"/>
            </a:rPr>
            <a:t> poszczególnych jego elementów w taki sposób, by stworzony przez ciebie wykres jak najlepiej odwzorowywał dane, był logiczny, zrozumiały i czytelny.</a:t>
          </a:r>
          <a:endParaRPr lang="pl-PL" sz="1100" i="1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endParaRPr lang="pl-PL" sz="1100" i="1" baseline="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161925</xdr:rowOff>
    </xdr:from>
    <xdr:to>
      <xdr:col>10</xdr:col>
      <xdr:colOff>257175</xdr:colOff>
      <xdr:row>10</xdr:row>
      <xdr:rowOff>57150</xdr:rowOff>
    </xdr:to>
    <xdr:sp macro="" textlink="">
      <xdr:nvSpPr>
        <xdr:cNvPr id="5" name="pole tekstowe 4"/>
        <xdr:cNvSpPr txBox="1"/>
      </xdr:nvSpPr>
      <xdr:spPr>
        <a:xfrm>
          <a:off x="2962275" y="352425"/>
          <a:ext cx="381952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Obok umieszczono wartości opisujące zależność między temeraturą wody a jej gęstością.</a:t>
          </a: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Dobierz zakres danych, typ wykresu, formatowanie</a:t>
          </a:r>
          <a:r>
            <a:rPr lang="pl-PL" sz="1100" i="1" baseline="0">
              <a:solidFill>
                <a:srgbClr val="FF0000"/>
              </a:solidFill>
            </a:rPr>
            <a:t> poszczególnych jego elementów w taki sposób, by stworzony przez ciebie wykres jak najlepiej odwzorowywał dane, był logiczny, zrozumiały i czytelny.</a:t>
          </a:r>
          <a:endParaRPr lang="pl-PL" sz="1100" i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2</xdr:row>
      <xdr:rowOff>9524</xdr:rowOff>
    </xdr:from>
    <xdr:to>
      <xdr:col>10</xdr:col>
      <xdr:colOff>523875</xdr:colOff>
      <xdr:row>11</xdr:row>
      <xdr:rowOff>114299</xdr:rowOff>
    </xdr:to>
    <xdr:sp macro="" textlink="">
      <xdr:nvSpPr>
        <xdr:cNvPr id="8" name="pole tekstowe 7"/>
        <xdr:cNvSpPr txBox="1"/>
      </xdr:nvSpPr>
      <xdr:spPr>
        <a:xfrm>
          <a:off x="3048000" y="390524"/>
          <a:ext cx="38195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Obok umieszczono  notowania giełdowe</a:t>
          </a:r>
          <a:r>
            <a:rPr lang="pl-PL" sz="1100" i="1" baseline="0">
              <a:solidFill>
                <a:srgbClr val="FF0000"/>
              </a:solidFill>
            </a:rPr>
            <a:t> trzech spółek  w ciągu 4 kolejnych tygodni (wraz z sobotami, niedzielami i świętami). </a:t>
          </a: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 baseline="0">
              <a:solidFill>
                <a:srgbClr val="FF0000"/>
              </a:solidFill>
              <a:latin typeface="+mn-lt"/>
              <a:ea typeface="+mn-ea"/>
              <a:cs typeface="+mn-cs"/>
            </a:rPr>
            <a:t>Uwaga. Wartości w arkuszu zmieniają się automatycznie. </a:t>
          </a:r>
          <a:endParaRPr lang="pl-PL" sz="1100" i="1">
            <a:solidFill>
              <a:srgbClr val="FF0000"/>
            </a:solidFill>
          </a:endParaRP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Dobierz zakres danych, typ wykresu, formatowanie</a:t>
          </a:r>
          <a:r>
            <a:rPr lang="pl-PL" sz="1100" i="1" baseline="0">
              <a:solidFill>
                <a:srgbClr val="FF0000"/>
              </a:solidFill>
            </a:rPr>
            <a:t> poszczególnych jego elementów w taki sposób, by stworzony przez ciebie wykres jak najlepiej odwzorowywał dane, był logiczny, zrozumiały i czytelny.</a:t>
          </a:r>
          <a:endParaRPr lang="pl-PL" sz="1100" i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0</xdr:row>
      <xdr:rowOff>209550</xdr:rowOff>
    </xdr:from>
    <xdr:to>
      <xdr:col>9</xdr:col>
      <xdr:colOff>266700</xdr:colOff>
      <xdr:row>8</xdr:row>
      <xdr:rowOff>123825</xdr:rowOff>
    </xdr:to>
    <xdr:sp macro="" textlink="">
      <xdr:nvSpPr>
        <xdr:cNvPr id="8" name="pole tekstowe 7"/>
        <xdr:cNvSpPr txBox="1"/>
      </xdr:nvSpPr>
      <xdr:spPr>
        <a:xfrm>
          <a:off x="2581275" y="209550"/>
          <a:ext cx="3819525" cy="1628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Na podstawie rachunków z ostatnich 10  lat w arkuszu umieszczono roczne zużycie energii elektrycznej i gazu ziemnego pewnej rodziny.</a:t>
          </a: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Dobierz zakres danych, typ wykresu, formatowanie</a:t>
          </a:r>
          <a:r>
            <a:rPr lang="pl-PL" sz="1100" i="1" baseline="0">
              <a:solidFill>
                <a:srgbClr val="FF0000"/>
              </a:solidFill>
            </a:rPr>
            <a:t> poszczególnych jego elementów w taki sposób, by stworzony przez ciebie wykres jak najlepiej odwzorowywał dane, był logiczny, zrozumiały i czytelny. </a:t>
          </a:r>
        </a:p>
        <a:p>
          <a:endParaRPr lang="pl-PL" sz="1100" i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oleObject" Target="../embeddings/oleObject2.bin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C3:D19"/>
  <sheetViews>
    <sheetView workbookViewId="0">
      <selection activeCell="C4" sqref="C4:D4"/>
    </sheetView>
  </sheetViews>
  <sheetFormatPr defaultRowHeight="15"/>
  <cols>
    <col min="1" max="2" width="7.7109375" bestFit="1" customWidth="1"/>
    <col min="3" max="3" width="24.140625" customWidth="1"/>
    <col min="4" max="4" width="14.140625" bestFit="1" customWidth="1"/>
    <col min="6" max="6" width="7" bestFit="1" customWidth="1"/>
    <col min="7" max="7" width="9" bestFit="1" customWidth="1"/>
    <col min="8" max="8" width="6.140625" bestFit="1" customWidth="1"/>
    <col min="9" max="9" width="8.42578125" bestFit="1" customWidth="1"/>
    <col min="10" max="10" width="9.28515625" bestFit="1" customWidth="1"/>
    <col min="11" max="11" width="11.140625" bestFit="1" customWidth="1"/>
    <col min="12" max="12" width="8.42578125" bestFit="1" customWidth="1"/>
    <col min="13" max="13" width="9" bestFit="1" customWidth="1"/>
  </cols>
  <sheetData>
    <row r="3" spans="3:4" ht="15.75" thickBot="1"/>
    <row r="4" spans="3:4">
      <c r="C4" s="25" t="s">
        <v>24</v>
      </c>
      <c r="D4" s="26"/>
    </row>
    <row r="5" spans="3:4">
      <c r="C5" s="5"/>
      <c r="D5" s="6"/>
    </row>
    <row r="6" spans="3:4">
      <c r="C6" s="5"/>
      <c r="D6" s="6"/>
    </row>
    <row r="7" spans="3:4">
      <c r="C7" s="7" t="s">
        <v>1</v>
      </c>
      <c r="D7" s="8" t="s">
        <v>11</v>
      </c>
    </row>
    <row r="8" spans="3:4">
      <c r="C8" s="9" t="s">
        <v>2</v>
      </c>
      <c r="D8" s="10">
        <v>154</v>
      </c>
    </row>
    <row r="9" spans="3:4">
      <c r="C9" s="9" t="s">
        <v>3</v>
      </c>
      <c r="D9" s="10">
        <v>423</v>
      </c>
    </row>
    <row r="10" spans="3:4">
      <c r="C10" s="9" t="s">
        <v>4</v>
      </c>
      <c r="D10" s="10">
        <v>221</v>
      </c>
    </row>
    <row r="11" spans="3:4">
      <c r="C11" s="9" t="s">
        <v>5</v>
      </c>
      <c r="D11" s="11">
        <v>13</v>
      </c>
    </row>
    <row r="12" spans="3:4">
      <c r="C12" s="9" t="s">
        <v>6</v>
      </c>
      <c r="D12" s="11">
        <v>150</v>
      </c>
    </row>
    <row r="13" spans="3:4">
      <c r="C13" s="9" t="s">
        <v>7</v>
      </c>
      <c r="D13" s="11">
        <v>13</v>
      </c>
    </row>
    <row r="14" spans="3:4">
      <c r="C14" s="9" t="s">
        <v>8</v>
      </c>
      <c r="D14" s="11">
        <v>25</v>
      </c>
    </row>
    <row r="15" spans="3:4">
      <c r="C15" s="9" t="s">
        <v>9</v>
      </c>
      <c r="D15" s="11">
        <v>30</v>
      </c>
    </row>
    <row r="16" spans="3:4">
      <c r="C16" s="9" t="s">
        <v>25</v>
      </c>
      <c r="D16" s="11">
        <v>99</v>
      </c>
    </row>
    <row r="17" spans="3:4">
      <c r="C17" s="5"/>
      <c r="D17" s="6"/>
    </row>
    <row r="18" spans="3:4">
      <c r="C18" s="5"/>
      <c r="D18" s="6"/>
    </row>
    <row r="19" spans="3:4" ht="15.75" thickBot="1">
      <c r="C19" s="12" t="s">
        <v>10</v>
      </c>
      <c r="D19" s="13">
        <f>SUM(D8:D16)</f>
        <v>1128</v>
      </c>
    </row>
  </sheetData>
  <mergeCells count="1"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G62"/>
  <sheetViews>
    <sheetView workbookViewId="0">
      <selection activeCell="G22" sqref="G22"/>
    </sheetView>
  </sheetViews>
  <sheetFormatPr defaultRowHeight="15"/>
  <cols>
    <col min="1" max="1" width="12" bestFit="1" customWidth="1"/>
    <col min="2" max="2" width="13.42578125" bestFit="1" customWidth="1"/>
  </cols>
  <sheetData>
    <row r="1" spans="1:6">
      <c r="A1" s="3" t="s">
        <v>12</v>
      </c>
      <c r="B1" s="3" t="s">
        <v>13</v>
      </c>
    </row>
    <row r="2" spans="1:6">
      <c r="A2" s="1">
        <v>0</v>
      </c>
      <c r="B2" s="1">
        <v>0</v>
      </c>
    </row>
    <row r="3" spans="1:6">
      <c r="A3" s="1">
        <v>1.7490000000000001</v>
      </c>
      <c r="B3" s="1">
        <v>2.9049999999999998</v>
      </c>
    </row>
    <row r="4" spans="1:6">
      <c r="A4" s="1">
        <v>3.6309999999999998</v>
      </c>
      <c r="B4" s="1">
        <v>5.9880000000000004</v>
      </c>
    </row>
    <row r="5" spans="1:6">
      <c r="A5" s="1">
        <v>5.157</v>
      </c>
      <c r="B5" s="1">
        <v>8.8559999999999999</v>
      </c>
    </row>
    <row r="6" spans="1:6">
      <c r="A6" s="1">
        <v>7</v>
      </c>
      <c r="B6" s="1">
        <v>10.771000000000001</v>
      </c>
    </row>
    <row r="7" spans="1:6">
      <c r="A7" s="1">
        <v>9.2520000000000007</v>
      </c>
      <c r="B7" s="1">
        <v>13.627000000000001</v>
      </c>
    </row>
    <row r="8" spans="1:6">
      <c r="A8" s="1">
        <v>10.455</v>
      </c>
      <c r="B8" s="1">
        <v>16.329000000000001</v>
      </c>
    </row>
    <row r="9" spans="1:6">
      <c r="A9" s="1">
        <v>13.132</v>
      </c>
      <c r="B9" s="1">
        <v>18.518999999999998</v>
      </c>
    </row>
    <row r="10" spans="1:6">
      <c r="A10" s="1">
        <v>14.132</v>
      </c>
      <c r="B10" s="1">
        <v>20.361999999999998</v>
      </c>
    </row>
    <row r="11" spans="1:6">
      <c r="A11" s="1">
        <v>16.856999999999999</v>
      </c>
      <c r="B11" s="1">
        <v>23.524999999999999</v>
      </c>
    </row>
    <row r="12" spans="1:6">
      <c r="A12" s="1">
        <v>17.609000000000002</v>
      </c>
      <c r="B12" s="1">
        <v>25.792999999999999</v>
      </c>
    </row>
    <row r="13" spans="1:6">
      <c r="A13" s="1">
        <v>18.876000000000001</v>
      </c>
      <c r="B13" s="1">
        <v>26.312000000000001</v>
      </c>
    </row>
    <row r="14" spans="1:6">
      <c r="A14" s="1">
        <v>21.693999999999999</v>
      </c>
      <c r="B14" s="1">
        <v>29.077999999999999</v>
      </c>
      <c r="F14" s="14"/>
    </row>
    <row r="15" spans="1:6">
      <c r="A15" s="1">
        <v>24.462</v>
      </c>
      <c r="B15" s="1">
        <v>31.565999999999999</v>
      </c>
    </row>
    <row r="16" spans="1:6">
      <c r="A16" s="1">
        <v>26.024999999999999</v>
      </c>
      <c r="B16" s="1">
        <v>31.321999999999999</v>
      </c>
    </row>
    <row r="17" spans="1:7">
      <c r="A17" s="1">
        <v>25.812000000000001</v>
      </c>
      <c r="B17" s="1">
        <v>33.142000000000003</v>
      </c>
    </row>
    <row r="18" spans="1:7">
      <c r="A18" s="1">
        <v>27.625</v>
      </c>
      <c r="B18" s="1">
        <v>34.366999999999997</v>
      </c>
    </row>
    <row r="19" spans="1:7">
      <c r="A19" s="1">
        <v>31.533000000000001</v>
      </c>
      <c r="B19" s="1">
        <v>35.509</v>
      </c>
    </row>
    <row r="20" spans="1:7">
      <c r="A20" s="1">
        <v>33.686</v>
      </c>
      <c r="B20" s="1">
        <v>39.505000000000003</v>
      </c>
      <c r="G20" s="15"/>
    </row>
    <row r="21" spans="1:7">
      <c r="A21" s="1">
        <v>35.018999999999998</v>
      </c>
      <c r="B21" s="1">
        <v>40.768999999999998</v>
      </c>
      <c r="G21" s="16"/>
    </row>
    <row r="22" spans="1:7">
      <c r="A22" s="1">
        <v>35.350999999999999</v>
      </c>
      <c r="B22" s="1">
        <v>41.783999999999999</v>
      </c>
      <c r="G22" s="16"/>
    </row>
    <row r="23" spans="1:7">
      <c r="A23" s="1">
        <v>37.914000000000001</v>
      </c>
      <c r="B23" s="1">
        <v>40.933</v>
      </c>
    </row>
    <row r="24" spans="1:7">
      <c r="A24" s="1">
        <v>41.59</v>
      </c>
      <c r="B24" s="1">
        <v>43.81</v>
      </c>
    </row>
    <row r="25" spans="1:7">
      <c r="A25" s="1">
        <v>41.133000000000003</v>
      </c>
      <c r="B25" s="1">
        <v>41.524999999999999</v>
      </c>
    </row>
    <row r="26" spans="1:7">
      <c r="A26" s="1">
        <v>44.247</v>
      </c>
      <c r="B26" s="1">
        <v>42.222000000000001</v>
      </c>
    </row>
    <row r="27" spans="1:7">
      <c r="A27" s="1">
        <v>45.113</v>
      </c>
      <c r="B27" s="1">
        <v>41.691000000000003</v>
      </c>
    </row>
    <row r="28" spans="1:7">
      <c r="A28" s="1">
        <v>45.805999999999997</v>
      </c>
      <c r="B28" s="1">
        <v>45.793999999999997</v>
      </c>
    </row>
    <row r="29" spans="1:7">
      <c r="A29" s="1">
        <v>49.956000000000003</v>
      </c>
      <c r="B29" s="1">
        <v>44.383000000000003</v>
      </c>
    </row>
    <row r="30" spans="1:7">
      <c r="A30" s="1">
        <v>48.588000000000001</v>
      </c>
      <c r="B30" s="1">
        <v>44.918999999999997</v>
      </c>
    </row>
    <row r="31" spans="1:7">
      <c r="A31" s="1">
        <v>53.197000000000003</v>
      </c>
      <c r="B31" s="1">
        <v>42.768000000000001</v>
      </c>
    </row>
    <row r="32" spans="1:7">
      <c r="A32" s="1">
        <v>51.378999999999998</v>
      </c>
      <c r="B32" s="1">
        <v>46.991</v>
      </c>
    </row>
    <row r="33" spans="1:2">
      <c r="A33" s="1">
        <v>56.228000000000002</v>
      </c>
      <c r="B33" s="1">
        <v>44.554000000000002</v>
      </c>
    </row>
    <row r="34" spans="1:2">
      <c r="A34" s="1">
        <v>60.048000000000002</v>
      </c>
      <c r="B34" s="1">
        <v>43.917000000000002</v>
      </c>
    </row>
    <row r="35" spans="1:2">
      <c r="A35" s="1">
        <v>58.731000000000002</v>
      </c>
      <c r="B35" s="1">
        <v>46.13</v>
      </c>
    </row>
    <row r="36" spans="1:2">
      <c r="A36" s="1">
        <v>62.52</v>
      </c>
      <c r="B36" s="1">
        <v>44.05</v>
      </c>
    </row>
    <row r="37" spans="1:2">
      <c r="A37" s="1">
        <v>61.945</v>
      </c>
      <c r="B37" s="1">
        <v>42.415999999999997</v>
      </c>
    </row>
    <row r="38" spans="1:2">
      <c r="A38" s="1">
        <v>64.341999999999999</v>
      </c>
      <c r="B38" s="1">
        <v>42.225999999999999</v>
      </c>
    </row>
    <row r="39" spans="1:2">
      <c r="A39" s="1">
        <v>68.701999999999998</v>
      </c>
      <c r="B39" s="1">
        <v>44.009</v>
      </c>
    </row>
    <row r="40" spans="1:2">
      <c r="A40" s="1">
        <v>71.242000000000004</v>
      </c>
      <c r="B40" s="1">
        <v>43.018999999999998</v>
      </c>
    </row>
    <row r="41" spans="1:2">
      <c r="A41" s="1">
        <v>71.548000000000002</v>
      </c>
      <c r="B41" s="1">
        <v>43</v>
      </c>
    </row>
    <row r="42" spans="1:2">
      <c r="A42" s="1">
        <v>70.468000000000004</v>
      </c>
      <c r="B42" s="1">
        <v>39.927</v>
      </c>
    </row>
    <row r="43" spans="1:2">
      <c r="A43" s="1">
        <v>71.915999999999997</v>
      </c>
      <c r="B43" s="1">
        <v>38.375</v>
      </c>
    </row>
    <row r="44" spans="1:2">
      <c r="A44" s="1">
        <v>77.596999999999994</v>
      </c>
      <c r="B44" s="1">
        <v>39.448</v>
      </c>
    </row>
    <row r="45" spans="1:2">
      <c r="A45" s="1">
        <v>81.283000000000001</v>
      </c>
      <c r="B45" s="1">
        <v>35.857999999999997</v>
      </c>
    </row>
    <row r="46" spans="1:2">
      <c r="A46" s="1">
        <v>75.385000000000005</v>
      </c>
      <c r="B46" s="1">
        <v>35.820999999999998</v>
      </c>
    </row>
    <row r="47" spans="1:2">
      <c r="A47" s="1">
        <v>78.721000000000004</v>
      </c>
      <c r="B47" s="1">
        <v>35.097000000000001</v>
      </c>
    </row>
    <row r="48" spans="1:2">
      <c r="A48" s="1">
        <v>84.290999999999997</v>
      </c>
      <c r="B48" s="1">
        <v>31.821999999999999</v>
      </c>
    </row>
    <row r="49" spans="1:2">
      <c r="A49" s="1">
        <v>84.718999999999994</v>
      </c>
      <c r="B49" s="1">
        <v>29.622</v>
      </c>
    </row>
    <row r="50" spans="1:2">
      <c r="A50" s="1">
        <v>88.668999999999997</v>
      </c>
      <c r="B50" s="1">
        <v>28.922999999999998</v>
      </c>
    </row>
    <row r="51" spans="1:2">
      <c r="A51" s="1">
        <v>91.471000000000004</v>
      </c>
      <c r="B51" s="1">
        <v>27.349</v>
      </c>
    </row>
    <row r="52" spans="1:2">
      <c r="A52" s="1">
        <v>93.738</v>
      </c>
      <c r="B52" s="1">
        <v>23.937000000000001</v>
      </c>
    </row>
    <row r="53" spans="1:2">
      <c r="A53" s="1">
        <v>94.340999999999994</v>
      </c>
      <c r="B53" s="1">
        <v>22.202000000000002</v>
      </c>
    </row>
    <row r="54" spans="1:2">
      <c r="A54" s="1">
        <v>97.427999999999997</v>
      </c>
      <c r="B54" s="1">
        <v>21.233000000000001</v>
      </c>
    </row>
    <row r="55" spans="1:2">
      <c r="A55" s="1">
        <v>97.828999999999994</v>
      </c>
      <c r="B55" s="1">
        <v>18.617000000000001</v>
      </c>
    </row>
    <row r="56" spans="1:2">
      <c r="A56" s="1">
        <v>93.938999999999993</v>
      </c>
      <c r="B56" s="1">
        <v>15.602</v>
      </c>
    </row>
    <row r="57" spans="1:2">
      <c r="A57" s="1">
        <v>96.707999999999998</v>
      </c>
      <c r="B57" s="1">
        <v>13.319000000000001</v>
      </c>
    </row>
    <row r="58" spans="1:2">
      <c r="A58" s="1">
        <v>96.238</v>
      </c>
      <c r="B58" s="1">
        <v>11.17</v>
      </c>
    </row>
    <row r="59" spans="1:2">
      <c r="A59" s="1">
        <v>98.296000000000006</v>
      </c>
      <c r="B59" s="1">
        <v>8.35</v>
      </c>
    </row>
    <row r="60" spans="1:2">
      <c r="A60" s="1">
        <v>106.884</v>
      </c>
      <c r="B60" s="1">
        <v>5.891</v>
      </c>
    </row>
    <row r="61" spans="1:2">
      <c r="A61" s="1">
        <v>110.13200000000001</v>
      </c>
      <c r="B61" s="1">
        <v>2.9009999999999998</v>
      </c>
    </row>
    <row r="62" spans="1:2">
      <c r="A62" s="1">
        <v>108.943</v>
      </c>
      <c r="B62" s="1">
        <v>5.0000000000000001E-3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42"/>
  <sheetViews>
    <sheetView workbookViewId="0">
      <selection activeCell="G10" sqref="G10"/>
    </sheetView>
  </sheetViews>
  <sheetFormatPr defaultRowHeight="15"/>
  <cols>
    <col min="1" max="1" width="12" bestFit="1" customWidth="1"/>
    <col min="2" max="2" width="13.42578125" bestFit="1" customWidth="1"/>
  </cols>
  <sheetData>
    <row r="1" spans="1:2">
      <c r="A1" s="3" t="s">
        <v>0</v>
      </c>
      <c r="B1" s="3" t="s">
        <v>14</v>
      </c>
    </row>
    <row r="2" spans="1:2">
      <c r="A2" s="1">
        <v>-1.5</v>
      </c>
      <c r="B2" s="1"/>
    </row>
    <row r="3" spans="1:2">
      <c r="A3" s="1">
        <v>-1.4</v>
      </c>
      <c r="B3" s="1"/>
    </row>
    <row r="4" spans="1:2">
      <c r="A4" s="1">
        <v>-1.3</v>
      </c>
      <c r="B4" s="1"/>
    </row>
    <row r="5" spans="1:2">
      <c r="A5" s="1">
        <v>-1.2</v>
      </c>
      <c r="B5" s="1"/>
    </row>
    <row r="6" spans="1:2">
      <c r="A6" s="1">
        <v>-1.1000000000000001</v>
      </c>
      <c r="B6" s="1"/>
    </row>
    <row r="7" spans="1:2">
      <c r="A7" s="1">
        <v>-1</v>
      </c>
      <c r="B7" s="1"/>
    </row>
    <row r="8" spans="1:2">
      <c r="A8" s="1">
        <v>-0.89999999999999902</v>
      </c>
      <c r="B8" s="1"/>
    </row>
    <row r="9" spans="1:2">
      <c r="A9" s="1">
        <v>-0.79999999999999905</v>
      </c>
      <c r="B9" s="1"/>
    </row>
    <row r="10" spans="1:2">
      <c r="A10" s="1">
        <v>-0.69999999999999896</v>
      </c>
      <c r="B10" s="1"/>
    </row>
    <row r="11" spans="1:2">
      <c r="A11" s="1">
        <v>-0.59999999999999898</v>
      </c>
      <c r="B11" s="1"/>
    </row>
    <row r="12" spans="1:2">
      <c r="A12" s="1">
        <v>-0.5</v>
      </c>
      <c r="B12" s="1"/>
    </row>
    <row r="13" spans="1:2">
      <c r="A13" s="1">
        <v>-0.4</v>
      </c>
      <c r="B13" s="1"/>
    </row>
    <row r="14" spans="1:2">
      <c r="A14" s="1">
        <v>-0.3</v>
      </c>
      <c r="B14" s="1"/>
    </row>
    <row r="15" spans="1:2">
      <c r="A15" s="1">
        <v>-0.2</v>
      </c>
      <c r="B15" s="1"/>
    </row>
    <row r="16" spans="1:2">
      <c r="A16" s="1">
        <v>-0.1</v>
      </c>
      <c r="B16" s="1"/>
    </row>
    <row r="17" spans="1:2">
      <c r="A17" s="1">
        <v>0</v>
      </c>
      <c r="B17" s="1"/>
    </row>
    <row r="18" spans="1:2">
      <c r="A18" s="1">
        <v>0.1</v>
      </c>
      <c r="B18" s="1"/>
    </row>
    <row r="19" spans="1:2">
      <c r="A19" s="1">
        <v>0.2</v>
      </c>
      <c r="B19" s="1"/>
    </row>
    <row r="20" spans="1:2">
      <c r="A20" s="1">
        <v>0.3</v>
      </c>
      <c r="B20" s="1"/>
    </row>
    <row r="21" spans="1:2">
      <c r="A21" s="1">
        <v>0.4</v>
      </c>
      <c r="B21" s="1"/>
    </row>
    <row r="22" spans="1:2">
      <c r="A22" s="1">
        <v>0.5</v>
      </c>
      <c r="B22" s="1"/>
    </row>
    <row r="23" spans="1:2">
      <c r="A23" s="1">
        <v>0.6</v>
      </c>
      <c r="B23" s="1"/>
    </row>
    <row r="24" spans="1:2">
      <c r="A24" s="1">
        <v>0.7</v>
      </c>
      <c r="B24" s="1"/>
    </row>
    <row r="25" spans="1:2">
      <c r="A25" s="1">
        <v>0.8</v>
      </c>
      <c r="B25" s="1"/>
    </row>
    <row r="26" spans="1:2">
      <c r="A26" s="1">
        <v>0.9</v>
      </c>
      <c r="B26" s="1"/>
    </row>
    <row r="27" spans="1:2">
      <c r="A27" s="1">
        <v>1</v>
      </c>
      <c r="B27" s="1"/>
    </row>
    <row r="28" spans="1:2">
      <c r="A28" s="1">
        <v>1.1000000000000001</v>
      </c>
      <c r="B28" s="1"/>
    </row>
    <row r="29" spans="1:2">
      <c r="A29" s="1">
        <v>1.2</v>
      </c>
      <c r="B29" s="1"/>
    </row>
    <row r="30" spans="1:2">
      <c r="A30" s="1">
        <v>1.3</v>
      </c>
      <c r="B30" s="1"/>
    </row>
    <row r="31" spans="1:2">
      <c r="A31" s="1">
        <v>1.4</v>
      </c>
      <c r="B31" s="1"/>
    </row>
    <row r="32" spans="1:2">
      <c r="A32" s="1">
        <v>1.5</v>
      </c>
      <c r="B32" s="1"/>
    </row>
    <row r="33" spans="1:2">
      <c r="A33" s="1">
        <v>1.6</v>
      </c>
      <c r="B33" s="1"/>
    </row>
    <row r="34" spans="1:2">
      <c r="A34" s="1">
        <v>1.7</v>
      </c>
      <c r="B34" s="1"/>
    </row>
    <row r="35" spans="1:2">
      <c r="A35" s="1">
        <v>1.8</v>
      </c>
      <c r="B35" s="1"/>
    </row>
    <row r="36" spans="1:2">
      <c r="A36" s="1">
        <v>1.9</v>
      </c>
      <c r="B36" s="1"/>
    </row>
    <row r="37" spans="1:2">
      <c r="A37" s="1">
        <v>2</v>
      </c>
      <c r="B37" s="1"/>
    </row>
    <row r="38" spans="1:2">
      <c r="A38" s="1">
        <v>2.1</v>
      </c>
      <c r="B38" s="1"/>
    </row>
    <row r="39" spans="1:2">
      <c r="A39" s="1">
        <v>2.2000000000000002</v>
      </c>
      <c r="B39" s="1"/>
    </row>
    <row r="40" spans="1:2">
      <c r="A40" s="1">
        <v>2.2999999999999998</v>
      </c>
      <c r="B40" s="1"/>
    </row>
    <row r="41" spans="1:2">
      <c r="A41" s="1">
        <v>2.4</v>
      </c>
      <c r="B41" s="1"/>
    </row>
    <row r="42" spans="1:2">
      <c r="A42" s="1">
        <v>2.5</v>
      </c>
      <c r="B42" s="1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oleObjects>
    <oleObject progId="Equation.3" shapeId="3074" r:id="rId4"/>
    <oleObject progId="Equation.3" shapeId="3075" r:id="rId5"/>
  </oleObjects>
</worksheet>
</file>

<file path=xl/worksheets/sheet4.xml><?xml version="1.0" encoding="utf-8"?>
<worksheet xmlns="http://schemas.openxmlformats.org/spreadsheetml/2006/main" xmlns:r="http://schemas.openxmlformats.org/officeDocument/2006/relationships">
  <dimension ref="C3:D15"/>
  <sheetViews>
    <sheetView workbookViewId="0">
      <selection activeCell="F13" sqref="F13"/>
    </sheetView>
  </sheetViews>
  <sheetFormatPr defaultRowHeight="15"/>
  <cols>
    <col min="3" max="3" width="9.7109375" bestFit="1" customWidth="1"/>
    <col min="4" max="4" width="15" bestFit="1" customWidth="1"/>
  </cols>
  <sheetData>
    <row r="3" spans="3:4">
      <c r="C3" s="2" t="s">
        <v>15</v>
      </c>
      <c r="D3" s="2" t="s">
        <v>16</v>
      </c>
    </row>
    <row r="4" spans="3:4" ht="15.75">
      <c r="C4" s="17">
        <v>0</v>
      </c>
      <c r="D4" s="17">
        <v>999.8</v>
      </c>
    </row>
    <row r="5" spans="3:4" ht="15.75">
      <c r="C5" s="17">
        <v>4</v>
      </c>
      <c r="D5" s="17">
        <v>1000</v>
      </c>
    </row>
    <row r="6" spans="3:4" ht="15.75">
      <c r="C6" s="17">
        <v>10</v>
      </c>
      <c r="D6" s="17">
        <v>999.7</v>
      </c>
    </row>
    <row r="7" spans="3:4" ht="15.75">
      <c r="C7" s="17">
        <v>20</v>
      </c>
      <c r="D7" s="17">
        <v>998.2</v>
      </c>
    </row>
    <row r="8" spans="3:4" ht="15.75">
      <c r="C8" s="17">
        <v>30</v>
      </c>
      <c r="D8" s="17">
        <v>995.6</v>
      </c>
    </row>
    <row r="9" spans="3:4" ht="15.75">
      <c r="C9" s="17">
        <v>40</v>
      </c>
      <c r="D9" s="17">
        <v>992.2</v>
      </c>
    </row>
    <row r="10" spans="3:4" ht="15.75">
      <c r="C10" s="17">
        <v>50</v>
      </c>
      <c r="D10" s="17">
        <v>988</v>
      </c>
    </row>
    <row r="11" spans="3:4" ht="15.75">
      <c r="C11" s="17">
        <v>60</v>
      </c>
      <c r="D11" s="17">
        <v>983.2</v>
      </c>
    </row>
    <row r="12" spans="3:4" ht="15.75">
      <c r="C12" s="17">
        <v>70</v>
      </c>
      <c r="D12" s="17">
        <v>977.8</v>
      </c>
    </row>
    <row r="13" spans="3:4" ht="15.75">
      <c r="C13" s="17">
        <v>80</v>
      </c>
      <c r="D13" s="17">
        <v>971.8</v>
      </c>
    </row>
    <row r="14" spans="3:4" ht="15.75">
      <c r="C14" s="17">
        <v>90</v>
      </c>
      <c r="D14" s="17">
        <v>965.3</v>
      </c>
    </row>
    <row r="15" spans="3:4" ht="15.75">
      <c r="C15" s="17">
        <v>100</v>
      </c>
      <c r="D15" s="17">
        <v>958.3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D29"/>
  <sheetViews>
    <sheetView workbookViewId="0">
      <selection activeCell="H13" sqref="H13"/>
    </sheetView>
  </sheetViews>
  <sheetFormatPr defaultRowHeight="12.75"/>
  <cols>
    <col min="1" max="1" width="11.5703125" style="4" bestFit="1" customWidth="1"/>
    <col min="2" max="4" width="9.5703125" style="4" bestFit="1" customWidth="1"/>
    <col min="5" max="258" width="9.140625" style="4"/>
    <col min="259" max="259" width="13.140625" style="4" bestFit="1" customWidth="1"/>
    <col min="260" max="514" width="9.140625" style="4"/>
    <col min="515" max="515" width="13.140625" style="4" bestFit="1" customWidth="1"/>
    <col min="516" max="770" width="9.140625" style="4"/>
    <col min="771" max="771" width="13.140625" style="4" bestFit="1" customWidth="1"/>
    <col min="772" max="1026" width="9.140625" style="4"/>
    <col min="1027" max="1027" width="13.140625" style="4" bestFit="1" customWidth="1"/>
    <col min="1028" max="1282" width="9.140625" style="4"/>
    <col min="1283" max="1283" width="13.140625" style="4" bestFit="1" customWidth="1"/>
    <col min="1284" max="1538" width="9.140625" style="4"/>
    <col min="1539" max="1539" width="13.140625" style="4" bestFit="1" customWidth="1"/>
    <col min="1540" max="1794" width="9.140625" style="4"/>
    <col min="1795" max="1795" width="13.140625" style="4" bestFit="1" customWidth="1"/>
    <col min="1796" max="2050" width="9.140625" style="4"/>
    <col min="2051" max="2051" width="13.140625" style="4" bestFit="1" customWidth="1"/>
    <col min="2052" max="2306" width="9.140625" style="4"/>
    <col min="2307" max="2307" width="13.140625" style="4" bestFit="1" customWidth="1"/>
    <col min="2308" max="2562" width="9.140625" style="4"/>
    <col min="2563" max="2563" width="13.140625" style="4" bestFit="1" customWidth="1"/>
    <col min="2564" max="2818" width="9.140625" style="4"/>
    <col min="2819" max="2819" width="13.140625" style="4" bestFit="1" customWidth="1"/>
    <col min="2820" max="3074" width="9.140625" style="4"/>
    <col min="3075" max="3075" width="13.140625" style="4" bestFit="1" customWidth="1"/>
    <col min="3076" max="3330" width="9.140625" style="4"/>
    <col min="3331" max="3331" width="13.140625" style="4" bestFit="1" customWidth="1"/>
    <col min="3332" max="3586" width="9.140625" style="4"/>
    <col min="3587" max="3587" width="13.140625" style="4" bestFit="1" customWidth="1"/>
    <col min="3588" max="3842" width="9.140625" style="4"/>
    <col min="3843" max="3843" width="13.140625" style="4" bestFit="1" customWidth="1"/>
    <col min="3844" max="4098" width="9.140625" style="4"/>
    <col min="4099" max="4099" width="13.140625" style="4" bestFit="1" customWidth="1"/>
    <col min="4100" max="4354" width="9.140625" style="4"/>
    <col min="4355" max="4355" width="13.140625" style="4" bestFit="1" customWidth="1"/>
    <col min="4356" max="4610" width="9.140625" style="4"/>
    <col min="4611" max="4611" width="13.140625" style="4" bestFit="1" customWidth="1"/>
    <col min="4612" max="4866" width="9.140625" style="4"/>
    <col min="4867" max="4867" width="13.140625" style="4" bestFit="1" customWidth="1"/>
    <col min="4868" max="5122" width="9.140625" style="4"/>
    <col min="5123" max="5123" width="13.140625" style="4" bestFit="1" customWidth="1"/>
    <col min="5124" max="5378" width="9.140625" style="4"/>
    <col min="5379" max="5379" width="13.140625" style="4" bestFit="1" customWidth="1"/>
    <col min="5380" max="5634" width="9.140625" style="4"/>
    <col min="5635" max="5635" width="13.140625" style="4" bestFit="1" customWidth="1"/>
    <col min="5636" max="5890" width="9.140625" style="4"/>
    <col min="5891" max="5891" width="13.140625" style="4" bestFit="1" customWidth="1"/>
    <col min="5892" max="6146" width="9.140625" style="4"/>
    <col min="6147" max="6147" width="13.140625" style="4" bestFit="1" customWidth="1"/>
    <col min="6148" max="6402" width="9.140625" style="4"/>
    <col min="6403" max="6403" width="13.140625" style="4" bestFit="1" customWidth="1"/>
    <col min="6404" max="6658" width="9.140625" style="4"/>
    <col min="6659" max="6659" width="13.140625" style="4" bestFit="1" customWidth="1"/>
    <col min="6660" max="6914" width="9.140625" style="4"/>
    <col min="6915" max="6915" width="13.140625" style="4" bestFit="1" customWidth="1"/>
    <col min="6916" max="7170" width="9.140625" style="4"/>
    <col min="7171" max="7171" width="13.140625" style="4" bestFit="1" customWidth="1"/>
    <col min="7172" max="7426" width="9.140625" style="4"/>
    <col min="7427" max="7427" width="13.140625" style="4" bestFit="1" customWidth="1"/>
    <col min="7428" max="7682" width="9.140625" style="4"/>
    <col min="7683" max="7683" width="13.140625" style="4" bestFit="1" customWidth="1"/>
    <col min="7684" max="7938" width="9.140625" style="4"/>
    <col min="7939" max="7939" width="13.140625" style="4" bestFit="1" customWidth="1"/>
    <col min="7940" max="8194" width="9.140625" style="4"/>
    <col min="8195" max="8195" width="13.140625" style="4" bestFit="1" customWidth="1"/>
    <col min="8196" max="8450" width="9.140625" style="4"/>
    <col min="8451" max="8451" width="13.140625" style="4" bestFit="1" customWidth="1"/>
    <col min="8452" max="8706" width="9.140625" style="4"/>
    <col min="8707" max="8707" width="13.140625" style="4" bestFit="1" customWidth="1"/>
    <col min="8708" max="8962" width="9.140625" style="4"/>
    <col min="8963" max="8963" width="13.140625" style="4" bestFit="1" customWidth="1"/>
    <col min="8964" max="9218" width="9.140625" style="4"/>
    <col min="9219" max="9219" width="13.140625" style="4" bestFit="1" customWidth="1"/>
    <col min="9220" max="9474" width="9.140625" style="4"/>
    <col min="9475" max="9475" width="13.140625" style="4" bestFit="1" customWidth="1"/>
    <col min="9476" max="9730" width="9.140625" style="4"/>
    <col min="9731" max="9731" width="13.140625" style="4" bestFit="1" customWidth="1"/>
    <col min="9732" max="9986" width="9.140625" style="4"/>
    <col min="9987" max="9987" width="13.140625" style="4" bestFit="1" customWidth="1"/>
    <col min="9988" max="10242" width="9.140625" style="4"/>
    <col min="10243" max="10243" width="13.140625" style="4" bestFit="1" customWidth="1"/>
    <col min="10244" max="10498" width="9.140625" style="4"/>
    <col min="10499" max="10499" width="13.140625" style="4" bestFit="1" customWidth="1"/>
    <col min="10500" max="10754" width="9.140625" style="4"/>
    <col min="10755" max="10755" width="13.140625" style="4" bestFit="1" customWidth="1"/>
    <col min="10756" max="11010" width="9.140625" style="4"/>
    <col min="11011" max="11011" width="13.140625" style="4" bestFit="1" customWidth="1"/>
    <col min="11012" max="11266" width="9.140625" style="4"/>
    <col min="11267" max="11267" width="13.140625" style="4" bestFit="1" customWidth="1"/>
    <col min="11268" max="11522" width="9.140625" style="4"/>
    <col min="11523" max="11523" width="13.140625" style="4" bestFit="1" customWidth="1"/>
    <col min="11524" max="11778" width="9.140625" style="4"/>
    <col min="11779" max="11779" width="13.140625" style="4" bestFit="1" customWidth="1"/>
    <col min="11780" max="12034" width="9.140625" style="4"/>
    <col min="12035" max="12035" width="13.140625" style="4" bestFit="1" customWidth="1"/>
    <col min="12036" max="12290" width="9.140625" style="4"/>
    <col min="12291" max="12291" width="13.140625" style="4" bestFit="1" customWidth="1"/>
    <col min="12292" max="12546" width="9.140625" style="4"/>
    <col min="12547" max="12547" width="13.140625" style="4" bestFit="1" customWidth="1"/>
    <col min="12548" max="12802" width="9.140625" style="4"/>
    <col min="12803" max="12803" width="13.140625" style="4" bestFit="1" customWidth="1"/>
    <col min="12804" max="13058" width="9.140625" style="4"/>
    <col min="13059" max="13059" width="13.140625" style="4" bestFit="1" customWidth="1"/>
    <col min="13060" max="13314" width="9.140625" style="4"/>
    <col min="13315" max="13315" width="13.140625" style="4" bestFit="1" customWidth="1"/>
    <col min="13316" max="13570" width="9.140625" style="4"/>
    <col min="13571" max="13571" width="13.140625" style="4" bestFit="1" customWidth="1"/>
    <col min="13572" max="13826" width="9.140625" style="4"/>
    <col min="13827" max="13827" width="13.140625" style="4" bestFit="1" customWidth="1"/>
    <col min="13828" max="14082" width="9.140625" style="4"/>
    <col min="14083" max="14083" width="13.140625" style="4" bestFit="1" customWidth="1"/>
    <col min="14084" max="14338" width="9.140625" style="4"/>
    <col min="14339" max="14339" width="13.140625" style="4" bestFit="1" customWidth="1"/>
    <col min="14340" max="14594" width="9.140625" style="4"/>
    <col min="14595" max="14595" width="13.140625" style="4" bestFit="1" customWidth="1"/>
    <col min="14596" max="14850" width="9.140625" style="4"/>
    <col min="14851" max="14851" width="13.140625" style="4" bestFit="1" customWidth="1"/>
    <col min="14852" max="15106" width="9.140625" style="4"/>
    <col min="15107" max="15107" width="13.140625" style="4" bestFit="1" customWidth="1"/>
    <col min="15108" max="15362" width="9.140625" style="4"/>
    <col min="15363" max="15363" width="13.140625" style="4" bestFit="1" customWidth="1"/>
    <col min="15364" max="15618" width="9.140625" style="4"/>
    <col min="15619" max="15619" width="13.140625" style="4" bestFit="1" customWidth="1"/>
    <col min="15620" max="15874" width="9.140625" style="4"/>
    <col min="15875" max="15875" width="13.140625" style="4" bestFit="1" customWidth="1"/>
    <col min="15876" max="16130" width="9.140625" style="4"/>
    <col min="16131" max="16131" width="13.140625" style="4" bestFit="1" customWidth="1"/>
    <col min="16132" max="16384" width="9.140625" style="4"/>
  </cols>
  <sheetData>
    <row r="1" spans="1:4" ht="15">
      <c r="A1" s="21" t="s">
        <v>17</v>
      </c>
      <c r="B1" s="21" t="s">
        <v>18</v>
      </c>
      <c r="C1" s="21" t="s">
        <v>19</v>
      </c>
      <c r="D1" s="21" t="s">
        <v>20</v>
      </c>
    </row>
    <row r="2" spans="1:4" ht="15">
      <c r="A2" s="18">
        <f ca="1">DATE(YEAR(TODAY()),MONTH(TODAY()),1)</f>
        <v>40817</v>
      </c>
      <c r="B2" s="19">
        <v>24</v>
      </c>
      <c r="C2" s="20">
        <v>31</v>
      </c>
      <c r="D2" s="20">
        <v>38</v>
      </c>
    </row>
    <row r="3" spans="1:4" ht="15">
      <c r="A3" s="18">
        <f ca="1">A2+1</f>
        <v>40818</v>
      </c>
      <c r="B3" s="19">
        <f ca="1">B2+ROUND(RAND()*6,2)-3</f>
        <v>23.28</v>
      </c>
      <c r="C3" s="19">
        <f ca="1">C2+ROUND(RAND()*6,2)-3</f>
        <v>32.22</v>
      </c>
      <c r="D3" s="19">
        <f ca="1">D2+ROUND(RAND()*6,2)-3</f>
        <v>40.96</v>
      </c>
    </row>
    <row r="4" spans="1:4" ht="15">
      <c r="A4" s="18">
        <f t="shared" ref="A4:A29" ca="1" si="0">A3+1</f>
        <v>40819</v>
      </c>
      <c r="B4" s="19">
        <f t="shared" ref="B4:D19" ca="1" si="1">B3+ROUND(RAND()*6,2)-3</f>
        <v>23.380000000000003</v>
      </c>
      <c r="C4" s="19">
        <f t="shared" ca="1" si="1"/>
        <v>30.33</v>
      </c>
      <c r="D4" s="19">
        <f t="shared" ca="1" si="1"/>
        <v>41.15</v>
      </c>
    </row>
    <row r="5" spans="1:4" ht="15">
      <c r="A5" s="18">
        <f t="shared" ca="1" si="0"/>
        <v>40820</v>
      </c>
      <c r="B5" s="19">
        <f t="shared" ca="1" si="1"/>
        <v>21.240000000000002</v>
      </c>
      <c r="C5" s="19">
        <f t="shared" ca="1" si="1"/>
        <v>30.9</v>
      </c>
      <c r="D5" s="19">
        <f t="shared" ca="1" si="1"/>
        <v>41.989999999999995</v>
      </c>
    </row>
    <row r="6" spans="1:4" ht="15">
      <c r="A6" s="18">
        <f t="shared" ca="1" si="0"/>
        <v>40821</v>
      </c>
      <c r="B6" s="19">
        <f t="shared" ca="1" si="1"/>
        <v>19.290000000000003</v>
      </c>
      <c r="C6" s="19">
        <f t="shared" ca="1" si="1"/>
        <v>32.06</v>
      </c>
      <c r="D6" s="19">
        <f t="shared" ca="1" si="1"/>
        <v>44.089999999999996</v>
      </c>
    </row>
    <row r="7" spans="1:4" ht="15">
      <c r="A7" s="18">
        <f t="shared" ca="1" si="0"/>
        <v>40822</v>
      </c>
      <c r="B7" s="19">
        <f t="shared" ca="1" si="1"/>
        <v>19.610000000000003</v>
      </c>
      <c r="C7" s="19">
        <f t="shared" ca="1" si="1"/>
        <v>31.690000000000005</v>
      </c>
      <c r="D7" s="19">
        <f t="shared" ca="1" si="1"/>
        <v>42.22</v>
      </c>
    </row>
    <row r="8" spans="1:4" ht="15">
      <c r="A8" s="18">
        <f t="shared" ca="1" si="0"/>
        <v>40823</v>
      </c>
      <c r="B8" s="19">
        <f t="shared" ca="1" si="1"/>
        <v>21.580000000000002</v>
      </c>
      <c r="C8" s="19">
        <f t="shared" ca="1" si="1"/>
        <v>30.120000000000005</v>
      </c>
      <c r="D8" s="19">
        <f t="shared" ca="1" si="1"/>
        <v>39.979999999999997</v>
      </c>
    </row>
    <row r="9" spans="1:4" ht="15">
      <c r="A9" s="18">
        <f t="shared" ca="1" si="0"/>
        <v>40824</v>
      </c>
      <c r="B9" s="19">
        <f t="shared" ca="1" si="1"/>
        <v>23.71</v>
      </c>
      <c r="C9" s="19">
        <f t="shared" ca="1" si="1"/>
        <v>31.970000000000006</v>
      </c>
      <c r="D9" s="19">
        <f t="shared" ca="1" si="1"/>
        <v>42.569999999999993</v>
      </c>
    </row>
    <row r="10" spans="1:4" ht="15">
      <c r="A10" s="18">
        <f t="shared" ca="1" si="0"/>
        <v>40825</v>
      </c>
      <c r="B10" s="19">
        <f t="shared" ca="1" si="1"/>
        <v>26.03</v>
      </c>
      <c r="C10" s="19">
        <f t="shared" ca="1" si="1"/>
        <v>32.640000000000008</v>
      </c>
      <c r="D10" s="19">
        <f t="shared" ca="1" si="1"/>
        <v>39.789999999999992</v>
      </c>
    </row>
    <row r="11" spans="1:4" ht="15">
      <c r="A11" s="18">
        <f t="shared" ca="1" si="0"/>
        <v>40826</v>
      </c>
      <c r="B11" s="19">
        <f t="shared" ca="1" si="1"/>
        <v>25.42</v>
      </c>
      <c r="C11" s="19">
        <f t="shared" ca="1" si="1"/>
        <v>35.230000000000004</v>
      </c>
      <c r="D11" s="19">
        <f t="shared" ca="1" si="1"/>
        <v>42.359999999999992</v>
      </c>
    </row>
    <row r="12" spans="1:4" ht="15">
      <c r="A12" s="18">
        <f t="shared" ca="1" si="0"/>
        <v>40827</v>
      </c>
      <c r="B12" s="19">
        <f t="shared" ca="1" si="1"/>
        <v>28.330000000000002</v>
      </c>
      <c r="C12" s="19">
        <f t="shared" ca="1" si="1"/>
        <v>33.300000000000004</v>
      </c>
      <c r="D12" s="19">
        <f t="shared" ca="1" si="1"/>
        <v>39.739999999999995</v>
      </c>
    </row>
    <row r="13" spans="1:4" ht="15">
      <c r="A13" s="18">
        <f t="shared" ca="1" si="0"/>
        <v>40828</v>
      </c>
      <c r="B13" s="19">
        <f t="shared" ca="1" si="1"/>
        <v>31.190000000000005</v>
      </c>
      <c r="C13" s="19">
        <f t="shared" ca="1" si="1"/>
        <v>31.010000000000005</v>
      </c>
      <c r="D13" s="19">
        <f t="shared" ca="1" si="1"/>
        <v>41.55</v>
      </c>
    </row>
    <row r="14" spans="1:4" ht="15">
      <c r="A14" s="18">
        <f t="shared" ca="1" si="0"/>
        <v>40829</v>
      </c>
      <c r="B14" s="19">
        <f t="shared" ca="1" si="1"/>
        <v>28.760000000000005</v>
      </c>
      <c r="C14" s="19">
        <f t="shared" ca="1" si="1"/>
        <v>33.67</v>
      </c>
      <c r="D14" s="19">
        <f t="shared" ca="1" si="1"/>
        <v>42.55</v>
      </c>
    </row>
    <row r="15" spans="1:4" ht="15">
      <c r="A15" s="18">
        <f t="shared" ca="1" si="0"/>
        <v>40830</v>
      </c>
      <c r="B15" s="19">
        <f t="shared" ca="1" si="1"/>
        <v>31.000000000000007</v>
      </c>
      <c r="C15" s="19">
        <f t="shared" ca="1" si="1"/>
        <v>35.650000000000006</v>
      </c>
      <c r="D15" s="19">
        <f t="shared" ca="1" si="1"/>
        <v>45.41</v>
      </c>
    </row>
    <row r="16" spans="1:4" ht="15">
      <c r="A16" s="18">
        <f t="shared" ca="1" si="0"/>
        <v>40831</v>
      </c>
      <c r="B16" s="19">
        <f t="shared" ca="1" si="1"/>
        <v>28.560000000000006</v>
      </c>
      <c r="C16" s="19">
        <f t="shared" ca="1" si="1"/>
        <v>38.240000000000009</v>
      </c>
      <c r="D16" s="19">
        <f t="shared" ca="1" si="1"/>
        <v>47.89</v>
      </c>
    </row>
    <row r="17" spans="1:4" ht="15">
      <c r="A17" s="18">
        <f t="shared" ca="1" si="0"/>
        <v>40832</v>
      </c>
      <c r="B17" s="19">
        <f t="shared" ca="1" si="1"/>
        <v>29.130000000000003</v>
      </c>
      <c r="C17" s="19">
        <f t="shared" ca="1" si="1"/>
        <v>36.13000000000001</v>
      </c>
      <c r="D17" s="19">
        <f t="shared" ca="1" si="1"/>
        <v>49.79</v>
      </c>
    </row>
    <row r="18" spans="1:4" ht="15">
      <c r="A18" s="18">
        <f t="shared" ca="1" si="0"/>
        <v>40833</v>
      </c>
      <c r="B18" s="19">
        <f t="shared" ca="1" si="1"/>
        <v>26.78</v>
      </c>
      <c r="C18" s="19">
        <f t="shared" ca="1" si="1"/>
        <v>36.95000000000001</v>
      </c>
      <c r="D18" s="19">
        <f t="shared" ca="1" si="1"/>
        <v>47.67</v>
      </c>
    </row>
    <row r="19" spans="1:4" ht="15">
      <c r="A19" s="18">
        <f t="shared" ca="1" si="0"/>
        <v>40834</v>
      </c>
      <c r="B19" s="19">
        <f t="shared" ca="1" si="1"/>
        <v>24.07</v>
      </c>
      <c r="C19" s="19">
        <f t="shared" ca="1" si="1"/>
        <v>39.870000000000012</v>
      </c>
      <c r="D19" s="19">
        <f t="shared" ca="1" si="1"/>
        <v>45.190000000000005</v>
      </c>
    </row>
    <row r="20" spans="1:4" ht="15">
      <c r="A20" s="18">
        <f t="shared" ca="1" si="0"/>
        <v>40835</v>
      </c>
      <c r="B20" s="19">
        <f t="shared" ref="B20:D29" ca="1" si="2">B19+ROUND(RAND()*6,2)-3</f>
        <v>26.96</v>
      </c>
      <c r="C20" s="19">
        <f t="shared" ca="1" si="2"/>
        <v>40.810000000000009</v>
      </c>
      <c r="D20" s="19">
        <f t="shared" ca="1" si="2"/>
        <v>43.330000000000005</v>
      </c>
    </row>
    <row r="21" spans="1:4" ht="15">
      <c r="A21" s="18">
        <f t="shared" ca="1" si="0"/>
        <v>40836</v>
      </c>
      <c r="B21" s="19">
        <f t="shared" ca="1" si="2"/>
        <v>27.78</v>
      </c>
      <c r="C21" s="19">
        <f t="shared" ca="1" si="2"/>
        <v>42.460000000000008</v>
      </c>
      <c r="D21" s="19">
        <f t="shared" ca="1" si="2"/>
        <v>42.870000000000005</v>
      </c>
    </row>
    <row r="22" spans="1:4" ht="15">
      <c r="A22" s="18">
        <f t="shared" ca="1" si="0"/>
        <v>40837</v>
      </c>
      <c r="B22" s="19">
        <f t="shared" ca="1" si="2"/>
        <v>26.76</v>
      </c>
      <c r="C22" s="19">
        <f t="shared" ca="1" si="2"/>
        <v>42.070000000000007</v>
      </c>
      <c r="D22" s="19">
        <f t="shared" ca="1" si="2"/>
        <v>42.640000000000008</v>
      </c>
    </row>
    <row r="23" spans="1:4" ht="15">
      <c r="A23" s="18">
        <f t="shared" ca="1" si="0"/>
        <v>40838</v>
      </c>
      <c r="B23" s="19">
        <f t="shared" ca="1" si="2"/>
        <v>24.41</v>
      </c>
      <c r="C23" s="19">
        <f t="shared" ca="1" si="2"/>
        <v>44.030000000000008</v>
      </c>
      <c r="D23" s="19">
        <f t="shared" ca="1" si="2"/>
        <v>41.720000000000006</v>
      </c>
    </row>
    <row r="24" spans="1:4" ht="15">
      <c r="A24" s="18">
        <f t="shared" ca="1" si="0"/>
        <v>40839</v>
      </c>
      <c r="B24" s="19">
        <f t="shared" ca="1" si="2"/>
        <v>23.39</v>
      </c>
      <c r="C24" s="19">
        <f t="shared" ca="1" si="2"/>
        <v>44.480000000000011</v>
      </c>
      <c r="D24" s="19">
        <f t="shared" ca="1" si="2"/>
        <v>40.560000000000009</v>
      </c>
    </row>
    <row r="25" spans="1:4" ht="15">
      <c r="A25" s="18">
        <f t="shared" ca="1" si="0"/>
        <v>40840</v>
      </c>
      <c r="B25" s="19">
        <f t="shared" ca="1" si="2"/>
        <v>25.55</v>
      </c>
      <c r="C25" s="19">
        <f t="shared" ca="1" si="2"/>
        <v>45.02000000000001</v>
      </c>
      <c r="D25" s="19">
        <f t="shared" ca="1" si="2"/>
        <v>39.980000000000011</v>
      </c>
    </row>
    <row r="26" spans="1:4" ht="15">
      <c r="A26" s="18">
        <f t="shared" ca="1" si="0"/>
        <v>40841</v>
      </c>
      <c r="B26" s="19">
        <f t="shared" ca="1" si="2"/>
        <v>25.97</v>
      </c>
      <c r="C26" s="19">
        <f t="shared" ca="1" si="2"/>
        <v>46.800000000000011</v>
      </c>
      <c r="D26" s="19">
        <f t="shared" ca="1" si="2"/>
        <v>40.730000000000011</v>
      </c>
    </row>
    <row r="27" spans="1:4" ht="15">
      <c r="A27" s="18">
        <f t="shared" ca="1" si="0"/>
        <v>40842</v>
      </c>
      <c r="B27" s="19">
        <f t="shared" ca="1" si="2"/>
        <v>24.15</v>
      </c>
      <c r="C27" s="19">
        <f t="shared" ca="1" si="2"/>
        <v>44.470000000000013</v>
      </c>
      <c r="D27" s="19">
        <f t="shared" ca="1" si="2"/>
        <v>39.330000000000013</v>
      </c>
    </row>
    <row r="28" spans="1:4" ht="15">
      <c r="A28" s="18">
        <f t="shared" ca="1" si="0"/>
        <v>40843</v>
      </c>
      <c r="B28" s="19">
        <f t="shared" ca="1" si="2"/>
        <v>22.099999999999998</v>
      </c>
      <c r="C28" s="19">
        <f t="shared" ca="1" si="2"/>
        <v>42.890000000000015</v>
      </c>
      <c r="D28" s="19">
        <f t="shared" ca="1" si="2"/>
        <v>38.430000000000014</v>
      </c>
    </row>
    <row r="29" spans="1:4" ht="15">
      <c r="A29" s="18">
        <f t="shared" ca="1" si="0"/>
        <v>40844</v>
      </c>
      <c r="B29" s="19">
        <f t="shared" ca="1" si="2"/>
        <v>23.459999999999997</v>
      </c>
      <c r="C29" s="19">
        <f t="shared" ca="1" si="2"/>
        <v>45.260000000000012</v>
      </c>
      <c r="D29" s="19">
        <f t="shared" ca="1" si="2"/>
        <v>40.600000000000016</v>
      </c>
    </row>
  </sheetData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1"/>
  <sheetViews>
    <sheetView tabSelected="1" workbookViewId="0">
      <selection activeCell="E20" sqref="E20"/>
    </sheetView>
  </sheetViews>
  <sheetFormatPr defaultRowHeight="15"/>
  <cols>
    <col min="1" max="1" width="5" bestFit="1" customWidth="1"/>
    <col min="2" max="2" width="18" bestFit="1" customWidth="1"/>
    <col min="3" max="3" width="14.140625" bestFit="1" customWidth="1"/>
  </cols>
  <sheetData>
    <row r="1" spans="1:3" ht="30" customHeight="1">
      <c r="A1" s="2" t="s">
        <v>21</v>
      </c>
      <c r="B1" s="22" t="s">
        <v>22</v>
      </c>
      <c r="C1" s="22" t="s">
        <v>23</v>
      </c>
    </row>
    <row r="2" spans="1:3">
      <c r="A2" s="1">
        <f t="shared" ref="A2:A9" ca="1" si="0">A3-1</f>
        <v>2001</v>
      </c>
      <c r="B2" s="24">
        <v>555</v>
      </c>
      <c r="C2" s="23">
        <v>150.4</v>
      </c>
    </row>
    <row r="3" spans="1:3">
      <c r="A3" s="1">
        <f t="shared" ca="1" si="0"/>
        <v>2002</v>
      </c>
      <c r="B3" s="24">
        <v>541</v>
      </c>
      <c r="C3" s="23">
        <v>148.9</v>
      </c>
    </row>
    <row r="4" spans="1:3">
      <c r="A4" s="1">
        <f t="shared" ca="1" si="0"/>
        <v>2003</v>
      </c>
      <c r="B4" s="24">
        <v>531</v>
      </c>
      <c r="C4" s="23">
        <v>149.1</v>
      </c>
    </row>
    <row r="5" spans="1:3">
      <c r="A5" s="1">
        <f t="shared" ca="1" si="0"/>
        <v>2004</v>
      </c>
      <c r="B5" s="24">
        <v>527</v>
      </c>
      <c r="C5" s="23">
        <v>149.4</v>
      </c>
    </row>
    <row r="6" spans="1:3">
      <c r="A6" s="1">
        <f t="shared" ca="1" si="0"/>
        <v>2005</v>
      </c>
      <c r="B6" s="24">
        <v>522</v>
      </c>
      <c r="C6" s="23">
        <v>149.80000000000001</v>
      </c>
    </row>
    <row r="7" spans="1:3">
      <c r="A7" s="1">
        <f t="shared" ca="1" si="0"/>
        <v>2006</v>
      </c>
      <c r="B7" s="24">
        <v>513</v>
      </c>
      <c r="C7" s="23">
        <v>148.5</v>
      </c>
    </row>
    <row r="8" spans="1:3">
      <c r="A8" s="1">
        <f t="shared" ca="1" si="0"/>
        <v>2007</v>
      </c>
      <c r="B8" s="24">
        <v>500</v>
      </c>
      <c r="C8" s="23">
        <v>149.4</v>
      </c>
    </row>
    <row r="9" spans="1:3">
      <c r="A9" s="1">
        <f t="shared" ca="1" si="0"/>
        <v>2008</v>
      </c>
      <c r="B9" s="24">
        <v>498</v>
      </c>
      <c r="C9" s="23">
        <v>149.70000000000002</v>
      </c>
    </row>
    <row r="10" spans="1:3">
      <c r="A10" s="1">
        <f ca="1">A11-1</f>
        <v>2009</v>
      </c>
      <c r="B10" s="24">
        <v>479</v>
      </c>
      <c r="C10" s="23">
        <v>149.50000000000003</v>
      </c>
    </row>
    <row r="11" spans="1:3">
      <c r="A11" s="1">
        <f ca="1">YEAR(TODAY())-1</f>
        <v>2010</v>
      </c>
      <c r="B11" s="24">
        <v>462</v>
      </c>
      <c r="C11" s="23">
        <v>147.80000000000004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1. Internet</vt:lpstr>
      <vt:lpstr>2. Kula</vt:lpstr>
      <vt:lpstr>3. Wielomian</vt:lpstr>
      <vt:lpstr>4. Gęstość</vt:lpstr>
      <vt:lpstr>5. Giełda</vt:lpstr>
      <vt:lpstr>6. Prąd i gaz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2011-10-10T08:45:18Z</dcterms:modified>
</cp:coreProperties>
</file>